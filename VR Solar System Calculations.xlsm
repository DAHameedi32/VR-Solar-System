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yal\Desktop\VR Solar System Temp File Directory\"/>
    </mc:Choice>
  </mc:AlternateContent>
  <xr:revisionPtr revIDLastSave="0" documentId="13_ncr:1_{7074BDC7-861B-45C2-A053-726FD116D2E9}" xr6:coauthVersionLast="47" xr6:coauthVersionMax="47" xr10:uidLastSave="{00000000-0000-0000-0000-000000000000}"/>
  <bookViews>
    <workbookView xWindow="13560" yWindow="0" windowWidth="23850" windowHeight="15600" activeTab="1" xr2:uid="{AA020CF0-CB52-164E-A469-5058B60A3AFC}"/>
  </bookViews>
  <sheets>
    <sheet name="Data and Constraints" sheetId="1" r:id="rId1"/>
    <sheet name="Unit Scalings" sheetId="2" r:id="rId2"/>
    <sheet name="Velocities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2" l="1"/>
  <c r="D17" i="2"/>
  <c r="B16" i="2"/>
  <c r="D16" i="2" s="1"/>
  <c r="C1" i="3"/>
  <c r="C3" i="3"/>
  <c r="C4" i="3"/>
  <c r="C2" i="3"/>
  <c r="B1" i="3"/>
  <c r="F3" i="2"/>
  <c r="E32" i="2"/>
  <c r="E31" i="2"/>
  <c r="I32" i="2"/>
  <c r="H32" i="2"/>
  <c r="G32" i="2"/>
  <c r="F32" i="2"/>
  <c r="D32" i="2"/>
  <c r="C30" i="2"/>
  <c r="O4" i="2"/>
  <c r="P4" i="2" s="1"/>
  <c r="Q4" i="2" s="1"/>
  <c r="O5" i="2"/>
  <c r="P5" i="2" s="1"/>
  <c r="Q5" i="2" s="1"/>
  <c r="O6" i="2"/>
  <c r="P6" i="2" s="1"/>
  <c r="Q6" i="2" s="1"/>
  <c r="O7" i="2"/>
  <c r="P7" i="2" s="1"/>
  <c r="Q7" i="2" s="1"/>
  <c r="O8" i="2"/>
  <c r="P8" i="2" s="1"/>
  <c r="Q8" i="2" s="1"/>
  <c r="O9" i="2"/>
  <c r="O10" i="2"/>
  <c r="P10" i="2" s="1"/>
  <c r="Q10" i="2" s="1"/>
  <c r="O3" i="2"/>
  <c r="P3" i="2" s="1"/>
  <c r="Q3" i="2" s="1"/>
  <c r="P11" i="2"/>
  <c r="P12" i="2"/>
  <c r="P13" i="2"/>
  <c r="P14" i="2"/>
  <c r="O12" i="2"/>
  <c r="O13" i="2"/>
  <c r="O14" i="2"/>
  <c r="P9" i="2"/>
  <c r="Q9" i="2" s="1"/>
  <c r="K20" i="2"/>
  <c r="J20" i="2"/>
  <c r="I20" i="2"/>
  <c r="N13" i="2"/>
  <c r="N14" i="2"/>
  <c r="N12" i="2"/>
  <c r="J18" i="2"/>
  <c r="I18" i="2"/>
  <c r="K11" i="2"/>
  <c r="K12" i="2"/>
  <c r="K13" i="2"/>
  <c r="K14" i="2"/>
  <c r="J11" i="2"/>
  <c r="J12" i="2"/>
  <c r="J13" i="2"/>
  <c r="J14" i="2"/>
  <c r="H11" i="2"/>
  <c r="H12" i="2"/>
  <c r="H13" i="2"/>
  <c r="H14" i="2"/>
  <c r="B14" i="2"/>
  <c r="D14" i="2" s="1"/>
  <c r="B13" i="2"/>
  <c r="B12" i="2"/>
  <c r="D12" i="2" s="1"/>
  <c r="D10" i="2"/>
  <c r="G13" i="2"/>
  <c r="G14" i="2"/>
  <c r="G12" i="2"/>
  <c r="E14" i="2"/>
  <c r="E13" i="2"/>
  <c r="E12" i="2"/>
  <c r="H4" i="2"/>
  <c r="H3" i="2"/>
  <c r="G15" i="2"/>
  <c r="E15" i="2"/>
  <c r="C3" i="2"/>
  <c r="D2" i="2" s="1"/>
  <c r="C19" i="2" s="1"/>
  <c r="E11" i="2"/>
  <c r="A22" i="2"/>
  <c r="A24" i="2"/>
  <c r="A26" i="2"/>
  <c r="A27" i="2"/>
  <c r="A20" i="2"/>
  <c r="B29" i="1"/>
  <c r="B28" i="1"/>
  <c r="C26" i="1"/>
  <c r="K5" i="1" s="1"/>
  <c r="C6" i="1"/>
  <c r="C5" i="1"/>
  <c r="C4" i="1"/>
  <c r="C3" i="1"/>
  <c r="E26" i="1"/>
  <c r="E2" i="2"/>
  <c r="E4" i="2"/>
  <c r="E5" i="2"/>
  <c r="E6" i="2"/>
  <c r="E7" i="2"/>
  <c r="E8" i="2"/>
  <c r="E9" i="2"/>
  <c r="E10" i="2"/>
  <c r="E3" i="2"/>
  <c r="B4" i="2"/>
  <c r="B5" i="2"/>
  <c r="B6" i="2"/>
  <c r="B7" i="2"/>
  <c r="B8" i="2"/>
  <c r="B9" i="2"/>
  <c r="B10" i="2"/>
  <c r="B2" i="2"/>
  <c r="B3" i="2"/>
  <c r="K6" i="1"/>
  <c r="K9" i="1"/>
  <c r="K10" i="1"/>
  <c r="K3" i="1"/>
  <c r="A2" i="2"/>
  <c r="A19" i="2" s="1"/>
  <c r="A10" i="2"/>
  <c r="A4" i="2"/>
  <c r="A21" i="2" s="1"/>
  <c r="A5" i="2"/>
  <c r="A6" i="2"/>
  <c r="A23" i="2" s="1"/>
  <c r="A7" i="2"/>
  <c r="A8" i="2"/>
  <c r="A25" i="2" s="1"/>
  <c r="A9" i="2"/>
  <c r="A3" i="2"/>
  <c r="J4" i="1"/>
  <c r="J5" i="1"/>
  <c r="J6" i="1"/>
  <c r="J7" i="1"/>
  <c r="J8" i="1"/>
  <c r="J9" i="1"/>
  <c r="J10" i="1"/>
  <c r="J3" i="1"/>
  <c r="B26" i="1"/>
  <c r="C14" i="1"/>
  <c r="H11" i="1"/>
  <c r="I11" i="1"/>
  <c r="H10" i="1"/>
  <c r="I10" i="1" s="1"/>
  <c r="H9" i="1"/>
  <c r="H8" i="1"/>
  <c r="I8" i="1" s="1"/>
  <c r="H7" i="1"/>
  <c r="I7" i="1" s="1"/>
  <c r="H5" i="1"/>
  <c r="H4" i="1"/>
  <c r="H3" i="1"/>
  <c r="I3" i="1" s="1"/>
  <c r="H6" i="1"/>
  <c r="I5" i="1"/>
  <c r="I6" i="1"/>
  <c r="I9" i="1"/>
  <c r="D13" i="2" l="1"/>
  <c r="D3" i="2"/>
  <c r="C20" i="2" s="1"/>
  <c r="G3" i="2"/>
  <c r="G8" i="2"/>
  <c r="G10" i="2"/>
  <c r="G4" i="2"/>
  <c r="G2" i="2"/>
  <c r="G5" i="2"/>
  <c r="G6" i="2"/>
  <c r="G7" i="2"/>
  <c r="G9" i="2"/>
  <c r="G11" i="2"/>
  <c r="I3" i="2"/>
  <c r="J3" i="2" s="1"/>
  <c r="D7" i="2"/>
  <c r="C24" i="2" s="1"/>
  <c r="D4" i="2"/>
  <c r="C21" i="2" s="1"/>
  <c r="D6" i="2"/>
  <c r="D9" i="2"/>
  <c r="D8" i="2"/>
  <c r="K7" i="1"/>
  <c r="K4" i="1"/>
  <c r="K8" i="1"/>
  <c r="D5" i="2"/>
  <c r="C22" i="2" s="1"/>
  <c r="I4" i="1"/>
  <c r="H10" i="2" l="1"/>
  <c r="J10" i="2" s="1"/>
  <c r="K10" i="2" s="1"/>
  <c r="C27" i="2"/>
  <c r="H6" i="2"/>
  <c r="J6" i="2" s="1"/>
  <c r="K6" i="2" s="1"/>
  <c r="C23" i="2"/>
  <c r="H8" i="2"/>
  <c r="J8" i="2" s="1"/>
  <c r="K8" i="2" s="1"/>
  <c r="C25" i="2"/>
  <c r="H9" i="2"/>
  <c r="J9" i="2" s="1"/>
  <c r="K9" i="2" s="1"/>
  <c r="C26" i="2"/>
  <c r="J4" i="2"/>
  <c r="K4" i="2" s="1"/>
  <c r="H7" i="2"/>
  <c r="J7" i="2" s="1"/>
  <c r="K7" i="2" s="1"/>
  <c r="H5" i="2"/>
  <c r="J5" i="2" s="1"/>
  <c r="K5" i="2" s="1"/>
  <c r="K3" i="2"/>
  <c r="B15" i="2"/>
  <c r="D1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Daniyal Hameedi</author>
  </authors>
  <commentList>
    <comment ref="D1" authorId="0" shapeId="0" xr:uid="{59BA1A56-7520-41E1-B82C-0BF739663092}">
      <text>
        <r>
          <rPr>
            <b/>
            <sz val="9"/>
            <color indexed="81"/>
            <rFont val="Tahoma"/>
            <charset val="1"/>
          </rPr>
          <t>Daniyal Hameedi:</t>
        </r>
        <r>
          <rPr>
            <sz val="9"/>
            <color indexed="81"/>
            <rFont val="Tahoma"/>
            <charset val="1"/>
          </rPr>
          <t xml:space="preserve">
Goes to Unity Distance Units (U_u)
</t>
        </r>
      </text>
    </comment>
    <comment ref="G1" authorId="0" shapeId="0" xr:uid="{B2BC42E3-2B6D-44D5-996B-03037DDD3BE0}">
      <text>
        <r>
          <rPr>
            <b/>
            <sz val="9"/>
            <color indexed="81"/>
            <rFont val="Tahoma"/>
            <charset val="1"/>
          </rPr>
          <t>Daniyal Hameedi:</t>
        </r>
        <r>
          <rPr>
            <sz val="9"/>
            <color indexed="81"/>
            <rFont val="Tahoma"/>
            <charset val="1"/>
          </rPr>
          <t xml:space="preserve">
Scaled Mass goes to Unity Mass Units
</t>
        </r>
      </text>
    </comment>
    <comment ref="L1" authorId="0" shapeId="0" xr:uid="{0349EB43-8C7D-4D77-B49A-5632599D03A5}">
      <text>
        <r>
          <rPr>
            <b/>
            <sz val="9"/>
            <color indexed="81"/>
            <rFont val="Tahoma"/>
            <family val="2"/>
          </rPr>
          <t>Daniyal Hameedi:</t>
        </r>
        <r>
          <rPr>
            <sz val="9"/>
            <color indexed="81"/>
            <rFont val="Tahoma"/>
            <family val="2"/>
          </rPr>
          <t xml:space="preserve">
Saddle point depending on 1D solar radius. Done to get the gradient going to order e-6
</t>
        </r>
      </text>
    </comment>
    <comment ref="O1" authorId="0" shapeId="0" xr:uid="{B7D3AED2-8AA1-406E-8DD6-B5193D71C4D1}">
      <text>
        <r>
          <rPr>
            <b/>
            <sz val="9"/>
            <color indexed="81"/>
            <rFont val="Tahoma"/>
            <charset val="1"/>
          </rPr>
          <t>Daniyal Hameedi:</t>
        </r>
        <r>
          <rPr>
            <sz val="9"/>
            <color indexed="81"/>
            <rFont val="Tahoma"/>
            <charset val="1"/>
          </rPr>
          <t xml:space="preserve">
Calculated from data given here. We will use these values for consistency.
Is not exactly equal to literature values but close enough, given that we're using an approximation.</t>
        </r>
      </text>
    </comment>
    <comment ref="B11" authorId="0" shapeId="0" xr:uid="{26AA09AD-8882-43F1-9A9A-21A6512CBF94}">
      <text>
        <r>
          <rPr>
            <b/>
            <sz val="9"/>
            <color indexed="81"/>
            <rFont val="Tahoma"/>
            <charset val="1"/>
          </rPr>
          <t>Daniyal Hameedi:</t>
        </r>
        <r>
          <rPr>
            <sz val="9"/>
            <color indexed="81"/>
            <rFont val="Tahoma"/>
            <charset val="1"/>
          </rPr>
          <t xml:space="preserve">
For now we will consider these to be separate star systems with separate coordinate origin systems.
</t>
        </r>
      </text>
    </comment>
    <comment ref="E11" authorId="0" shapeId="0" xr:uid="{B3249081-9C2A-4BC3-B935-2F4570DF19D2}">
      <text>
        <r>
          <rPr>
            <b/>
            <sz val="9"/>
            <color indexed="81"/>
            <rFont val="Tahoma"/>
            <charset val="1"/>
          </rPr>
          <t>Daniyal Hameedi:</t>
        </r>
        <r>
          <rPr>
            <sz val="9"/>
            <color indexed="81"/>
            <rFont val="Tahoma"/>
            <charset val="1"/>
          </rPr>
          <t xml:space="preserve">
0.125 * Sun mass (which is in terms of earth mass) but this is fine. </t>
        </r>
      </text>
    </comment>
  </commentList>
</comments>
</file>

<file path=xl/sharedStrings.xml><?xml version="1.0" encoding="utf-8"?>
<sst xmlns="http://schemas.openxmlformats.org/spreadsheetml/2006/main" count="100" uniqueCount="96">
  <si>
    <t xml:space="preserve">PLANET </t>
  </si>
  <si>
    <t>au</t>
  </si>
  <si>
    <t>Mercury</t>
  </si>
  <si>
    <t>Venus</t>
  </si>
  <si>
    <t>Earth</t>
  </si>
  <si>
    <t>Mars</t>
  </si>
  <si>
    <t>Jupiter</t>
  </si>
  <si>
    <t xml:space="preserve">Saturn </t>
  </si>
  <si>
    <t>Uranus</t>
  </si>
  <si>
    <t>Neptune</t>
  </si>
  <si>
    <t>Distance from sun</t>
  </si>
  <si>
    <t>Radius</t>
  </si>
  <si>
    <t>Sun</t>
  </si>
  <si>
    <t xml:space="preserve">Radius of the whole solar system </t>
  </si>
  <si>
    <t>50,000 AU</t>
  </si>
  <si>
    <t>Rotation</t>
  </si>
  <si>
    <t>Orbit</t>
  </si>
  <si>
    <t>Days (earth)</t>
  </si>
  <si>
    <t>Moons</t>
  </si>
  <si>
    <t>Degrees</t>
  </si>
  <si>
    <t>Tilt (wrt plane of orbit)</t>
  </si>
  <si>
    <t>Weird surface rotation</t>
  </si>
  <si>
    <t>these should dictate the ratios we use</t>
  </si>
  <si>
    <t>Biggest/longest</t>
  </si>
  <si>
    <t xml:space="preserve">Smallest/shortest  </t>
  </si>
  <si>
    <t>177 (spin opposite direction)</t>
  </si>
  <si>
    <t xml:space="preserve">Suggestion: </t>
  </si>
  <si>
    <t>Make smallest size unit 1.63*10^-5 au and go from there</t>
  </si>
  <si>
    <t xml:space="preserve">Make smallest time unit (would that be 1 sec?) 0.42 earth days and go from there </t>
  </si>
  <si>
    <t xml:space="preserve">So Jupiter would rotate once every second, and it would take 40 hours for Neptune to complete an orbit </t>
  </si>
  <si>
    <t>Unity Bounds:</t>
  </si>
  <si>
    <t>Max Scene size:</t>
  </si>
  <si>
    <t>70,000 m</t>
  </si>
  <si>
    <t>Max Floating Point:</t>
  </si>
  <si>
    <t>32 bits</t>
  </si>
  <si>
    <t xml:space="preserve">Mass </t>
  </si>
  <si>
    <t>(Kg)</t>
  </si>
  <si>
    <t>M_E</t>
  </si>
  <si>
    <t>G</t>
  </si>
  <si>
    <t>Gravitational Constant</t>
  </si>
  <si>
    <t>value of pi:</t>
  </si>
  <si>
    <t>Newton's Gravitational Constant</t>
  </si>
  <si>
    <t>Planet</t>
  </si>
  <si>
    <t>(G-G_mean)^2</t>
  </si>
  <si>
    <t>Variance</t>
  </si>
  <si>
    <t>Scaling factor</t>
  </si>
  <si>
    <t>Scale factor</t>
  </si>
  <si>
    <t>Au^3 M_E^-1 day^-2</t>
  </si>
  <si>
    <t>Au^3 M_E ^-1 sec^-2</t>
  </si>
  <si>
    <t>Scaled Mass (M_U)</t>
  </si>
  <si>
    <t>Orbital Time Period(Mins)</t>
  </si>
  <si>
    <t>Orbital Time Period (Hours)</t>
  </si>
  <si>
    <t>Metres per Au</t>
  </si>
  <si>
    <t>Au per Metre</t>
  </si>
  <si>
    <t>m^3 kg^-1s^-2</t>
  </si>
  <si>
    <t>Scaled Radius (R_u)</t>
  </si>
  <si>
    <t>Earth Mass</t>
  </si>
  <si>
    <t>Earth Mass (M_E)</t>
  </si>
  <si>
    <t>Orbital Time Period (seconds)</t>
  </si>
  <si>
    <t>Proxima Sol</t>
  </si>
  <si>
    <t>Distance (Scaled Radius)</t>
  </si>
  <si>
    <t>Gravitational Potential (at body)</t>
  </si>
  <si>
    <t>Unity Upper Bound</t>
  </si>
  <si>
    <t>Planet C</t>
  </si>
  <si>
    <t>Planet D</t>
  </si>
  <si>
    <t>Planet B</t>
  </si>
  <si>
    <t>Orbital Displacement(from Data, Au)</t>
  </si>
  <si>
    <t>Total System Radius (position of Proxima Sol w.r.t Sol):</t>
  </si>
  <si>
    <t>Arbitary Saddle Point (e-6)</t>
  </si>
  <si>
    <t>Arbitrary Saddle Point (e-5)</t>
  </si>
  <si>
    <t>e-6</t>
  </si>
  <si>
    <t>e-5</t>
  </si>
  <si>
    <t>Position (e5)</t>
  </si>
  <si>
    <t>Space craft</t>
  </si>
  <si>
    <t>Voyager 1</t>
  </si>
  <si>
    <t>Mass (kg)</t>
  </si>
  <si>
    <t>scale factor</t>
  </si>
  <si>
    <t>Scaled Mass</t>
  </si>
  <si>
    <t>Earth Radius:</t>
  </si>
  <si>
    <t>KM</t>
  </si>
  <si>
    <t>AU</t>
  </si>
  <si>
    <t>Scaled Radius</t>
  </si>
  <si>
    <t>Hill Radius(Au)</t>
  </si>
  <si>
    <t>Scaled Hill-Radius:</t>
  </si>
  <si>
    <t>Scaled hill-sphere diamter:</t>
  </si>
  <si>
    <t>ISS</t>
  </si>
  <si>
    <t>Gravitational Force Coefficient (Sun)</t>
  </si>
  <si>
    <t>Gravitational Force Coefficient (Jupiter)</t>
  </si>
  <si>
    <t>Gravitational Force Coefficient (Saturn)</t>
  </si>
  <si>
    <t>Gravitational Force Coefficient (Uranus)</t>
  </si>
  <si>
    <t>GFC (Neptune</t>
  </si>
  <si>
    <t>Velocity</t>
  </si>
  <si>
    <t>X component</t>
  </si>
  <si>
    <t>Y component</t>
  </si>
  <si>
    <t>Z component</t>
  </si>
  <si>
    <t>Unity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</si>
</sst>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"/>
    <numFmt numFmtId="165" formatCode="0.000"/>
    <numFmt numFmtId="166" formatCode="0.0"/>
    <numFmt numFmtId="167" formatCode="0.00000"/>
    <numFmt numFmtId="168" formatCode="0.000000"/>
    <numFmt numFmtId="169" formatCode="0.0000000E+00"/>
    <numFmt numFmtId="170" formatCode="#,##0.0"/>
    <numFmt numFmtId="171" formatCode="#,##0.000"/>
  </numFmts>
  <fonts count="9" x14ac:knownFonts="1">
    <font>
      <sz val="12"/>
      <color theme="1"/>
      <name val="Calibri"/>
      <family val="2"/>
      <scheme val="minor"/>
    </font>
    <font>
      <sz val="11"/>
      <color rgb="FF202122"/>
      <name val="Arial"/>
      <family val="18"/>
    </font>
    <font>
      <sz val="12"/>
      <color rgb="FF040C28"/>
      <name val="Arial"/>
      <family val="18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rgb="FF20212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20212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/>
      <diagonal/>
    </border>
    <border>
      <left style="thin">
        <color rgb="FF505050"/>
      </left>
      <right style="thin">
        <color rgb="FF505050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wrapText="1"/>
    </xf>
    <xf numFmtId="0" fontId="0" fillId="2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Border="1"/>
    <xf numFmtId="0" fontId="0" fillId="4" borderId="1" xfId="0" applyFill="1" applyBorder="1"/>
    <xf numFmtId="0" fontId="1" fillId="0" borderId="1" xfId="0" applyFont="1" applyBorder="1" applyAlignment="1">
      <alignment wrapText="1"/>
    </xf>
    <xf numFmtId="0" fontId="0" fillId="3" borderId="1" xfId="0" applyFill="1" applyBorder="1"/>
    <xf numFmtId="0" fontId="0" fillId="4" borderId="2" xfId="0" applyFill="1" applyBorder="1"/>
    <xf numFmtId="0" fontId="0" fillId="5" borderId="1" xfId="0" applyFill="1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6" borderId="0" xfId="0" applyFill="1"/>
    <xf numFmtId="0" fontId="0" fillId="7" borderId="0" xfId="0" applyFill="1"/>
    <xf numFmtId="0" fontId="0" fillId="6" borderId="2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3" borderId="3" xfId="0" applyFill="1" applyBorder="1"/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" fontId="0" fillId="0" borderId="0" xfId="0" applyNumberFormat="1"/>
    <xf numFmtId="0" fontId="0" fillId="0" borderId="0" xfId="0" applyAlignment="1">
      <alignment wrapText="1"/>
    </xf>
    <xf numFmtId="168" fontId="5" fillId="6" borderId="1" xfId="0" applyNumberFormat="1" applyFont="1" applyFill="1" applyBorder="1" applyAlignment="1">
      <alignment horizontal="right"/>
    </xf>
    <xf numFmtId="168" fontId="0" fillId="0" borderId="0" xfId="0" applyNumberFormat="1"/>
    <xf numFmtId="167" fontId="0" fillId="0" borderId="0" xfId="0" applyNumberFormat="1"/>
    <xf numFmtId="3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69" fontId="0" fillId="0" borderId="0" xfId="0" applyNumberFormat="1"/>
    <xf numFmtId="4" fontId="0" fillId="0" borderId="0" xfId="0" applyNumberFormat="1"/>
    <xf numFmtId="170" fontId="0" fillId="0" borderId="0" xfId="0" applyNumberFormat="1"/>
    <xf numFmtId="171" fontId="0" fillId="0" borderId="0" xfId="0" applyNumberFormat="1"/>
    <xf numFmtId="0" fontId="0" fillId="0" borderId="0" xfId="0" applyAlignment="1">
      <alignment horizontal="center" vertical="top" wrapText="1"/>
    </xf>
    <xf numFmtId="3" fontId="8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73499-5482-A54A-A8E6-5390A50ED7C8}">
  <sheetPr codeName="Sheet1"/>
  <dimension ref="A1:K29"/>
  <sheetViews>
    <sheetView workbookViewId="0">
      <selection activeCell="J14" sqref="J14"/>
    </sheetView>
  </sheetViews>
  <sheetFormatPr defaultColWidth="10.875" defaultRowHeight="15.75" x14ac:dyDescent="0.25"/>
  <cols>
    <col min="1" max="1" width="17.375" customWidth="1"/>
    <col min="2" max="2" width="16.625" customWidth="1"/>
    <col min="3" max="3" width="12.125" bestFit="1" customWidth="1"/>
    <col min="5" max="5" width="11.875" bestFit="1" customWidth="1"/>
    <col min="6" max="6" width="18.375" customWidth="1"/>
    <col min="8" max="8" width="11.125" bestFit="1" customWidth="1"/>
    <col min="9" max="9" width="16" customWidth="1"/>
    <col min="10" max="10" width="22" customWidth="1"/>
    <col min="11" max="11" width="11.875" bestFit="1" customWidth="1"/>
  </cols>
  <sheetData>
    <row r="1" spans="1:11" x14ac:dyDescent="0.25">
      <c r="B1" s="1" t="s">
        <v>10</v>
      </c>
      <c r="C1" s="1" t="s">
        <v>11</v>
      </c>
      <c r="D1" t="s">
        <v>15</v>
      </c>
      <c r="E1" t="s">
        <v>16</v>
      </c>
      <c r="F1" t="s">
        <v>20</v>
      </c>
      <c r="G1" t="s">
        <v>18</v>
      </c>
      <c r="H1" t="s">
        <v>35</v>
      </c>
      <c r="I1" t="s">
        <v>56</v>
      </c>
      <c r="J1" t="s">
        <v>39</v>
      </c>
      <c r="K1" t="s">
        <v>44</v>
      </c>
    </row>
    <row r="2" spans="1:11" x14ac:dyDescent="0.25">
      <c r="A2" s="3" t="s">
        <v>0</v>
      </c>
      <c r="B2" s="4" t="s">
        <v>1</v>
      </c>
      <c r="C2" s="4" t="s">
        <v>1</v>
      </c>
      <c r="D2" s="8" t="s">
        <v>17</v>
      </c>
      <c r="E2" s="8" t="s">
        <v>17</v>
      </c>
      <c r="F2" s="8" t="s">
        <v>19</v>
      </c>
      <c r="G2" s="8"/>
      <c r="H2" s="18" t="s">
        <v>36</v>
      </c>
      <c r="I2" s="18" t="s">
        <v>37</v>
      </c>
      <c r="J2" s="18" t="s">
        <v>38</v>
      </c>
      <c r="K2" s="18" t="s">
        <v>43</v>
      </c>
    </row>
    <row r="3" spans="1:11" x14ac:dyDescent="0.25">
      <c r="A3" s="6" t="s">
        <v>2</v>
      </c>
      <c r="B3" s="17">
        <v>0.39</v>
      </c>
      <c r="C3" s="17">
        <f>1.63*10^-5</f>
        <v>1.63E-5</v>
      </c>
      <c r="D3" s="11">
        <v>59</v>
      </c>
      <c r="E3" s="17">
        <v>88</v>
      </c>
      <c r="F3" s="11">
        <v>2</v>
      </c>
      <c r="G3" s="11">
        <v>0</v>
      </c>
      <c r="H3">
        <f>3.29*10^23</f>
        <v>3.2900000000000001E+23</v>
      </c>
      <c r="I3" s="20">
        <f t="shared" ref="I3:I11" si="0">H3/$H$5</f>
        <v>5.5108877721943055E-2</v>
      </c>
      <c r="J3" s="19">
        <f>(4*PI()^2 * B3^3 ) /($I$11*E3^2)</f>
        <v>9.0721342479579482E-10</v>
      </c>
      <c r="K3">
        <f>POWER(J3-$C$26, 2)</f>
        <v>3.7400739502926065E-22</v>
      </c>
    </row>
    <row r="4" spans="1:11" x14ac:dyDescent="0.25">
      <c r="A4" s="6" t="s">
        <v>3</v>
      </c>
      <c r="B4" s="11">
        <v>0.72</v>
      </c>
      <c r="C4" s="11">
        <f>4.05*10^-5</f>
        <v>4.0500000000000002E-5</v>
      </c>
      <c r="D4" s="16">
        <v>243</v>
      </c>
      <c r="E4" s="11">
        <v>224.7</v>
      </c>
      <c r="F4" s="11" t="s">
        <v>25</v>
      </c>
      <c r="G4" s="11">
        <v>0</v>
      </c>
      <c r="H4">
        <f>4.87*10^24</f>
        <v>4.8699999999999996E+24</v>
      </c>
      <c r="I4" s="21">
        <f t="shared" si="0"/>
        <v>0.81574539363484089</v>
      </c>
      <c r="J4" s="19">
        <f t="shared" ref="J4:J10" si="1">(4*PI()^2 * B4^3 ) /($I$11*E4^2)</f>
        <v>8.7553262911540872E-10</v>
      </c>
      <c r="K4">
        <f t="shared" ref="K4:K10" si="2">POWER(J4-$C$26, 2)</f>
        <v>1.5231323640284575E-22</v>
      </c>
    </row>
    <row r="5" spans="1:11" x14ac:dyDescent="0.25">
      <c r="A5" s="6" t="s">
        <v>4</v>
      </c>
      <c r="B5" s="11">
        <v>1</v>
      </c>
      <c r="C5" s="11">
        <f>4.26*10^-5</f>
        <v>4.2599999999999999E-5</v>
      </c>
      <c r="D5" s="11">
        <v>1</v>
      </c>
      <c r="E5" s="11">
        <v>365</v>
      </c>
      <c r="F5" s="11">
        <v>23.4</v>
      </c>
      <c r="G5" s="11">
        <v>1</v>
      </c>
      <c r="H5">
        <f>5.97* 10^24</f>
        <v>5.9699999999999992E+24</v>
      </c>
      <c r="I5" s="22">
        <f t="shared" si="0"/>
        <v>1</v>
      </c>
      <c r="J5" s="19">
        <f t="shared" si="1"/>
        <v>8.8898669778999657E-10</v>
      </c>
      <c r="K5">
        <f t="shared" si="2"/>
        <v>1.2377536913433912E-24</v>
      </c>
    </row>
    <row r="6" spans="1:11" x14ac:dyDescent="0.25">
      <c r="A6" s="6" t="s">
        <v>5</v>
      </c>
      <c r="B6" s="11">
        <v>1.52</v>
      </c>
      <c r="C6" s="11">
        <f>2.27*10^-5</f>
        <v>2.2700000000000003E-5</v>
      </c>
      <c r="D6" s="11">
        <v>1.0249999999999999</v>
      </c>
      <c r="E6" s="11">
        <v>687</v>
      </c>
      <c r="F6" s="11">
        <v>25</v>
      </c>
      <c r="G6" s="11">
        <v>2</v>
      </c>
      <c r="H6">
        <f>6.39*10^23</f>
        <v>6.3899999999999998E+23</v>
      </c>
      <c r="I6" s="21">
        <f t="shared" si="0"/>
        <v>0.107035175879397</v>
      </c>
      <c r="J6" s="19">
        <f t="shared" si="1"/>
        <v>8.8124827755841949E-10</v>
      </c>
      <c r="K6">
        <f t="shared" si="2"/>
        <v>4.3902238579287526E-23</v>
      </c>
    </row>
    <row r="7" spans="1:11" x14ac:dyDescent="0.25">
      <c r="A7" s="6" t="s">
        <v>6</v>
      </c>
      <c r="B7" s="11">
        <v>5.2</v>
      </c>
      <c r="C7" s="26">
        <v>4.6999999999999999E-4</v>
      </c>
      <c r="D7" s="17">
        <v>0.42</v>
      </c>
      <c r="E7" s="11">
        <v>4333</v>
      </c>
      <c r="F7" s="11">
        <v>3</v>
      </c>
      <c r="G7" s="11">
        <v>95</v>
      </c>
      <c r="H7" s="19">
        <f>1.9*10^27</f>
        <v>1.8999999999999998E+27</v>
      </c>
      <c r="I7" s="24">
        <f t="shared" si="0"/>
        <v>318.25795644891122</v>
      </c>
      <c r="J7" s="19">
        <f t="shared" si="1"/>
        <v>8.869796262199191E-10</v>
      </c>
      <c r="K7">
        <f t="shared" si="2"/>
        <v>8.0017994396270453E-25</v>
      </c>
    </row>
    <row r="8" spans="1:11" x14ac:dyDescent="0.25">
      <c r="A8" s="6" t="s">
        <v>7</v>
      </c>
      <c r="B8" s="11">
        <v>9.5399999999999991</v>
      </c>
      <c r="C8" s="11">
        <v>3.8900000000000002E-4</v>
      </c>
      <c r="D8" s="11">
        <v>0.45</v>
      </c>
      <c r="E8" s="11">
        <v>10756</v>
      </c>
      <c r="F8" s="11">
        <v>26.7</v>
      </c>
      <c r="G8" s="11">
        <v>146</v>
      </c>
      <c r="H8">
        <f>5.68*10^26</f>
        <v>5.6800000000000001E+26</v>
      </c>
      <c r="I8" s="23">
        <f t="shared" si="0"/>
        <v>95.142378559464007</v>
      </c>
      <c r="J8" s="19">
        <f t="shared" si="1"/>
        <v>8.88841919221799E-10</v>
      </c>
      <c r="K8">
        <f t="shared" si="2"/>
        <v>9.3656953033739661E-25</v>
      </c>
    </row>
    <row r="9" spans="1:11" x14ac:dyDescent="0.25">
      <c r="A9" s="6" t="s">
        <v>8</v>
      </c>
      <c r="B9" s="11">
        <v>19.2</v>
      </c>
      <c r="C9" s="11">
        <v>1.7000000000000001E-4</v>
      </c>
      <c r="D9" s="11">
        <v>0.71</v>
      </c>
      <c r="E9" s="11">
        <v>30687</v>
      </c>
      <c r="F9" s="11">
        <v>97.8</v>
      </c>
      <c r="G9" s="11">
        <v>5</v>
      </c>
      <c r="H9">
        <f>8.68*10^25</f>
        <v>8.6800000000000001E+25</v>
      </c>
      <c r="I9" s="23">
        <f t="shared" si="0"/>
        <v>14.539363484087104</v>
      </c>
      <c r="J9" s="19">
        <f t="shared" si="1"/>
        <v>8.9017585607402637E-10</v>
      </c>
      <c r="K9">
        <f t="shared" si="2"/>
        <v>5.2978324514044553E-24</v>
      </c>
    </row>
    <row r="10" spans="1:11" x14ac:dyDescent="0.25">
      <c r="A10" s="9" t="s">
        <v>9</v>
      </c>
      <c r="B10" s="15">
        <v>30.06</v>
      </c>
      <c r="C10" s="12">
        <v>1.65E-4</v>
      </c>
      <c r="D10" s="12">
        <v>0.66700000000000004</v>
      </c>
      <c r="E10" s="15">
        <v>60190</v>
      </c>
      <c r="F10" s="12">
        <v>28</v>
      </c>
      <c r="G10" s="12">
        <v>14</v>
      </c>
      <c r="H10">
        <f>1.02*10^26</f>
        <v>1.0200000000000001E+26</v>
      </c>
      <c r="I10" s="23">
        <f t="shared" si="0"/>
        <v>17.085427135678394</v>
      </c>
      <c r="J10" s="19">
        <f t="shared" si="1"/>
        <v>8.8797192219449151E-10</v>
      </c>
      <c r="K10">
        <f t="shared" si="2"/>
        <v>9.5586204414596886E-27</v>
      </c>
    </row>
    <row r="11" spans="1:11" x14ac:dyDescent="0.25">
      <c r="A11" s="10" t="s">
        <v>12</v>
      </c>
      <c r="B11" s="5">
        <v>0</v>
      </c>
      <c r="C11" s="7">
        <v>4.7000000000000002E-3</v>
      </c>
      <c r="D11" s="5" t="s">
        <v>21</v>
      </c>
      <c r="E11" s="5"/>
      <c r="F11" s="5"/>
      <c r="G11" s="5"/>
      <c r="H11">
        <f>1.99*10^30</f>
        <v>1.99E+30</v>
      </c>
      <c r="I11" s="24">
        <f t="shared" si="0"/>
        <v>333333.33333333337</v>
      </c>
    </row>
    <row r="13" spans="1:11" x14ac:dyDescent="0.25">
      <c r="A13" t="s">
        <v>13</v>
      </c>
      <c r="C13" s="2" t="s">
        <v>14</v>
      </c>
    </row>
    <row r="14" spans="1:11" x14ac:dyDescent="0.25">
      <c r="A14" t="s">
        <v>40</v>
      </c>
      <c r="C14">
        <f>PI()</f>
        <v>3.1415926535897931</v>
      </c>
    </row>
    <row r="15" spans="1:11" x14ac:dyDescent="0.25">
      <c r="A15" t="s">
        <v>26</v>
      </c>
      <c r="B15" t="s">
        <v>27</v>
      </c>
    </row>
    <row r="16" spans="1:11" ht="15" customHeight="1" x14ac:dyDescent="0.25">
      <c r="B16" t="s">
        <v>28</v>
      </c>
      <c r="G16" s="36" t="s">
        <v>29</v>
      </c>
      <c r="H16" s="36"/>
      <c r="I16" s="36"/>
    </row>
    <row r="17" spans="1:9" x14ac:dyDescent="0.25">
      <c r="G17" s="36"/>
      <c r="H17" s="36"/>
      <c r="I17" s="36"/>
    </row>
    <row r="18" spans="1:9" x14ac:dyDescent="0.25">
      <c r="G18" s="36"/>
      <c r="H18" s="36"/>
      <c r="I18" s="36"/>
    </row>
    <row r="21" spans="1:9" x14ac:dyDescent="0.25">
      <c r="D21" s="13" t="s">
        <v>23</v>
      </c>
      <c r="E21" t="s">
        <v>22</v>
      </c>
    </row>
    <row r="22" spans="1:9" x14ac:dyDescent="0.25">
      <c r="A22" t="s">
        <v>30</v>
      </c>
      <c r="D22" s="14" t="s">
        <v>24</v>
      </c>
    </row>
    <row r="23" spans="1:9" x14ac:dyDescent="0.25">
      <c r="A23" t="s">
        <v>31</v>
      </c>
      <c r="B23" t="s">
        <v>32</v>
      </c>
    </row>
    <row r="24" spans="1:9" x14ac:dyDescent="0.25">
      <c r="A24" t="s">
        <v>33</v>
      </c>
      <c r="B24" t="s">
        <v>34</v>
      </c>
    </row>
    <row r="25" spans="1:9" x14ac:dyDescent="0.25">
      <c r="B25" t="s">
        <v>54</v>
      </c>
      <c r="C25" t="s">
        <v>47</v>
      </c>
      <c r="E25" t="s">
        <v>48</v>
      </c>
    </row>
    <row r="26" spans="1:9" x14ac:dyDescent="0.25">
      <c r="A26" t="s">
        <v>41</v>
      </c>
      <c r="B26">
        <f>6.67*10^-11</f>
        <v>6.67E-11</v>
      </c>
      <c r="C26">
        <f>B26 *(H5) * (24*60*60)^2 * (1.495978707*10^11)^-3</f>
        <v>8.8787415399699631E-10</v>
      </c>
      <c r="E26">
        <f>B26 *(H5)  * (1.495978707*10^11)^-3</f>
        <v>1.1893890308816073E-19</v>
      </c>
    </row>
    <row r="28" spans="1:9" x14ac:dyDescent="0.25">
      <c r="A28" t="s">
        <v>52</v>
      </c>
      <c r="B28">
        <f>1.495978707*10^11</f>
        <v>149597870700</v>
      </c>
    </row>
    <row r="29" spans="1:9" x14ac:dyDescent="0.25">
      <c r="A29" t="s">
        <v>53</v>
      </c>
      <c r="B29">
        <f>B28^-1</f>
        <v>6.6845871222684451E-12</v>
      </c>
    </row>
  </sheetData>
  <mergeCells count="1">
    <mergeCell ref="G16:I1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7D3BE-9D57-A34A-B6F6-9BA1468BE5ED}">
  <sheetPr codeName="Sheet2"/>
  <dimension ref="A1:Q32"/>
  <sheetViews>
    <sheetView tabSelected="1" topLeftCell="A11" zoomScaleNormal="100" workbookViewId="0">
      <selection activeCell="E19" sqref="E19"/>
    </sheetView>
  </sheetViews>
  <sheetFormatPr defaultColWidth="11" defaultRowHeight="15.75" x14ac:dyDescent="0.25"/>
  <cols>
    <col min="1" max="1" width="14.75" customWidth="1"/>
    <col min="2" max="2" width="19.375" customWidth="1"/>
    <col min="3" max="3" width="16" customWidth="1"/>
    <col min="4" max="4" width="13.625" customWidth="1"/>
    <col min="5" max="5" width="13.5" customWidth="1"/>
    <col min="6" max="6" width="14.375" customWidth="1"/>
    <col min="7" max="7" width="13.125" bestFit="1" customWidth="1"/>
    <col min="8" max="8" width="26.875" customWidth="1"/>
    <col min="9" max="9" width="13.5" customWidth="1"/>
    <col min="10" max="10" width="13.375" customWidth="1"/>
    <col min="11" max="11" width="13.75" customWidth="1"/>
    <col min="12" max="12" width="17.25" customWidth="1"/>
    <col min="13" max="13" width="15.125" customWidth="1"/>
    <col min="15" max="15" width="14.25" customWidth="1"/>
  </cols>
  <sheetData>
    <row r="1" spans="1:17" ht="32.25" customHeight="1" x14ac:dyDescent="0.25">
      <c r="A1" s="25" t="s">
        <v>42</v>
      </c>
      <c r="B1" s="25" t="s">
        <v>66</v>
      </c>
      <c r="C1" s="25" t="s">
        <v>45</v>
      </c>
      <c r="D1" s="25" t="s">
        <v>55</v>
      </c>
      <c r="E1" s="25" t="s">
        <v>57</v>
      </c>
      <c r="F1" s="25" t="s">
        <v>46</v>
      </c>
      <c r="G1" s="25" t="s">
        <v>49</v>
      </c>
      <c r="H1" s="25" t="s">
        <v>58</v>
      </c>
      <c r="I1" s="25" t="s">
        <v>39</v>
      </c>
      <c r="J1" s="25" t="s">
        <v>50</v>
      </c>
      <c r="K1" s="25" t="s">
        <v>51</v>
      </c>
      <c r="L1" s="25" t="s">
        <v>68</v>
      </c>
      <c r="M1" s="25" t="s">
        <v>69</v>
      </c>
      <c r="N1" s="25" t="s">
        <v>72</v>
      </c>
      <c r="O1" s="25" t="s">
        <v>82</v>
      </c>
      <c r="P1" s="25" t="s">
        <v>83</v>
      </c>
      <c r="Q1" s="25" t="s">
        <v>84</v>
      </c>
    </row>
    <row r="2" spans="1:17" x14ac:dyDescent="0.25">
      <c r="A2" t="str">
        <f>'Data and Constraints'!A11</f>
        <v>Sun</v>
      </c>
      <c r="B2">
        <f>'Data and Constraints'!B11</f>
        <v>0</v>
      </c>
      <c r="D2" s="24">
        <f t="shared" ref="D2:D10" si="0">$C$3 * B2</f>
        <v>0</v>
      </c>
      <c r="E2">
        <f>'Data and Constraints'!I11</f>
        <v>333333.33333333337</v>
      </c>
      <c r="G2" s="24">
        <f t="shared" ref="G2:G11" si="1">$F$3 *E2</f>
        <v>6048632.2188449847</v>
      </c>
      <c r="L2">
        <v>16944.987153114598</v>
      </c>
      <c r="M2">
        <v>4236.2460395539001</v>
      </c>
    </row>
    <row r="3" spans="1:17" x14ac:dyDescent="0.25">
      <c r="A3" t="str">
        <f>'Data and Constraints'!A3</f>
        <v>Mercury</v>
      </c>
      <c r="B3">
        <f>'Data and Constraints'!B3</f>
        <v>0.39</v>
      </c>
      <c r="C3">
        <f xml:space="preserve"> 10/B3</f>
        <v>25.641025641025639</v>
      </c>
      <c r="D3" s="23">
        <f t="shared" si="0"/>
        <v>10</v>
      </c>
      <c r="E3">
        <f>'Data and Constraints'!I3</f>
        <v>5.5108877721943055E-2</v>
      </c>
      <c r="F3">
        <f>1/E3</f>
        <v>18.145896656534951</v>
      </c>
      <c r="G3">
        <f t="shared" si="1"/>
        <v>0.99999999999999989</v>
      </c>
      <c r="H3">
        <f t="shared" ref="H3:H14" si="2">SQRT((4*PI()^2 * D3^3)/($I$3*$G$2))</f>
        <v>20.882018815121892</v>
      </c>
      <c r="I3" s="32">
        <f>'Data and Constraints'!B26*(('Data and Constraints'!B29*'Unit Scalings'!C3)^3*'Data and Constraints'!H5) *((1)*60^1 *60^1*24)^2</f>
        <v>1.4967786948481873E-5</v>
      </c>
      <c r="J3">
        <f>H3/60</f>
        <v>0.3480336469186982</v>
      </c>
      <c r="K3">
        <f>J3/60</f>
        <v>5.800560781978303E-3</v>
      </c>
      <c r="L3">
        <v>14.1359600000096</v>
      </c>
      <c r="M3" s="27">
        <v>12.0674800000041</v>
      </c>
      <c r="O3">
        <f>B3* POWER((E3/(3*$E$2)), 1/3)</f>
        <v>1.4841294943202428E-3</v>
      </c>
      <c r="P3">
        <f>O3*$C$3</f>
        <v>3.805460241846776E-2</v>
      </c>
      <c r="Q3">
        <f>2*P3</f>
        <v>7.6109204836935521E-2</v>
      </c>
    </row>
    <row r="4" spans="1:17" x14ac:dyDescent="0.25">
      <c r="A4" t="str">
        <f>'Data and Constraints'!A4</f>
        <v>Venus</v>
      </c>
      <c r="B4">
        <f>'Data and Constraints'!B4</f>
        <v>0.72</v>
      </c>
      <c r="D4" s="23">
        <f t="shared" si="0"/>
        <v>18.46153846153846</v>
      </c>
      <c r="E4">
        <f>'Data and Constraints'!I4</f>
        <v>0.81574539363484089</v>
      </c>
      <c r="G4" s="23">
        <f t="shared" si="1"/>
        <v>14.802431610942246</v>
      </c>
      <c r="H4">
        <f t="shared" si="2"/>
        <v>52.381064117770023</v>
      </c>
      <c r="J4">
        <f t="shared" ref="J4:J14" si="3">H4/60</f>
        <v>0.87301773529616711</v>
      </c>
      <c r="K4">
        <f t="shared" ref="K4:K14" si="4">J4/60</f>
        <v>1.4550295588269452E-2</v>
      </c>
      <c r="L4">
        <v>35.046839999874003</v>
      </c>
      <c r="M4" s="28">
        <v>26.7729199999429</v>
      </c>
      <c r="O4">
        <f t="shared" ref="O4:O10" si="5">B4* POWER((E4/(3*$E$2)), 1/3)</f>
        <v>6.7274535286070631E-3</v>
      </c>
      <c r="P4">
        <f t="shared" ref="P4:P14" si="6">O4*$C$3</f>
        <v>0.1724988084258221</v>
      </c>
      <c r="Q4">
        <f t="shared" ref="Q4:Q10" si="7">2*P4</f>
        <v>0.34499761685164421</v>
      </c>
    </row>
    <row r="5" spans="1:17" x14ac:dyDescent="0.25">
      <c r="A5" t="str">
        <f>'Data and Constraints'!A5</f>
        <v>Earth</v>
      </c>
      <c r="B5" s="22">
        <f>'Data and Constraints'!B5</f>
        <v>1</v>
      </c>
      <c r="D5" s="23">
        <f t="shared" si="0"/>
        <v>25.641025641025639</v>
      </c>
      <c r="E5">
        <f>'Data and Constraints'!I5</f>
        <v>1</v>
      </c>
      <c r="G5" s="23">
        <f t="shared" si="1"/>
        <v>18.145896656534951</v>
      </c>
      <c r="H5">
        <f t="shared" si="2"/>
        <v>85.738438989450287</v>
      </c>
      <c r="J5">
        <f t="shared" si="3"/>
        <v>1.4289739831575048</v>
      </c>
      <c r="K5">
        <f t="shared" si="4"/>
        <v>2.3816233052625081E-2</v>
      </c>
      <c r="L5">
        <v>42.1468399999033</v>
      </c>
      <c r="M5" s="28">
        <v>33.8729199999459</v>
      </c>
      <c r="O5">
        <f t="shared" si="5"/>
        <v>1.0000000000000004E-2</v>
      </c>
      <c r="P5">
        <f t="shared" si="6"/>
        <v>0.2564102564102565</v>
      </c>
      <c r="Q5">
        <f t="shared" si="7"/>
        <v>0.512820512820513</v>
      </c>
    </row>
    <row r="6" spans="1:17" x14ac:dyDescent="0.25">
      <c r="A6" t="str">
        <f>'Data and Constraints'!A6</f>
        <v>Mars</v>
      </c>
      <c r="B6">
        <f>'Data and Constraints'!B6</f>
        <v>1.52</v>
      </c>
      <c r="D6" s="23">
        <f t="shared" si="0"/>
        <v>38.974358974358971</v>
      </c>
      <c r="E6">
        <f>'Data and Constraints'!I6</f>
        <v>0.107035175879397</v>
      </c>
      <c r="G6" s="22">
        <f t="shared" si="1"/>
        <v>1.9422492401215805</v>
      </c>
      <c r="H6">
        <f t="shared" si="2"/>
        <v>160.67227910537767</v>
      </c>
      <c r="J6">
        <f t="shared" si="3"/>
        <v>2.677871318422961</v>
      </c>
      <c r="K6">
        <f t="shared" si="4"/>
        <v>4.4631188640382687E-2</v>
      </c>
      <c r="L6">
        <v>47.272920000126803</v>
      </c>
      <c r="M6" s="27">
        <v>41.067480000026698</v>
      </c>
      <c r="O6">
        <f t="shared" si="5"/>
        <v>7.2169289592741029E-3</v>
      </c>
      <c r="P6">
        <f t="shared" si="6"/>
        <v>0.18504946049420776</v>
      </c>
      <c r="Q6">
        <f t="shared" si="7"/>
        <v>0.37009892098841551</v>
      </c>
    </row>
    <row r="7" spans="1:17" x14ac:dyDescent="0.25">
      <c r="A7" t="str">
        <f>'Data and Constraints'!A7</f>
        <v>Jupiter</v>
      </c>
      <c r="B7" s="22">
        <f>'Data and Constraints'!B7</f>
        <v>5.2</v>
      </c>
      <c r="D7" s="24">
        <f t="shared" si="0"/>
        <v>133.33333333333331</v>
      </c>
      <c r="E7">
        <f>'Data and Constraints'!I7</f>
        <v>318.25795644891122</v>
      </c>
      <c r="G7" s="24">
        <f t="shared" si="1"/>
        <v>5775.075987841944</v>
      </c>
      <c r="H7">
        <f t="shared" si="2"/>
        <v>1016.6713556701829</v>
      </c>
      <c r="J7">
        <f t="shared" si="3"/>
        <v>16.944522594503049</v>
      </c>
      <c r="K7">
        <f t="shared" si="4"/>
        <v>0.28240870990838413</v>
      </c>
      <c r="L7" s="27">
        <v>662.52987998890103</v>
      </c>
      <c r="M7" s="20">
        <v>265.38171999613502</v>
      </c>
      <c r="O7">
        <f t="shared" si="5"/>
        <v>0.35502840410265424</v>
      </c>
      <c r="P7">
        <f t="shared" si="6"/>
        <v>9.1032924128885693</v>
      </c>
      <c r="Q7">
        <f t="shared" si="7"/>
        <v>18.206584825777139</v>
      </c>
    </row>
    <row r="8" spans="1:17" x14ac:dyDescent="0.25">
      <c r="A8" t="str">
        <f>'Data and Constraints'!A8</f>
        <v xml:space="preserve">Saturn </v>
      </c>
      <c r="B8">
        <f>'Data and Constraints'!B8</f>
        <v>9.5399999999999991</v>
      </c>
      <c r="D8" s="24">
        <f t="shared" si="0"/>
        <v>244.61538461538458</v>
      </c>
      <c r="E8">
        <f>'Data and Constraints'!I8</f>
        <v>95.142378559464007</v>
      </c>
      <c r="G8" s="24">
        <f t="shared" si="1"/>
        <v>1726.4437689969604</v>
      </c>
      <c r="H8">
        <f t="shared" si="2"/>
        <v>2526.3768566781455</v>
      </c>
      <c r="J8">
        <f t="shared" si="3"/>
        <v>42.106280944635756</v>
      </c>
      <c r="K8">
        <f t="shared" si="4"/>
        <v>0.70177134907726257</v>
      </c>
      <c r="L8">
        <v>509.76444000763399</v>
      </c>
      <c r="M8" s="28">
        <v>311.19036000008299</v>
      </c>
      <c r="O8">
        <f t="shared" si="5"/>
        <v>0.43551826783734032</v>
      </c>
      <c r="P8">
        <f t="shared" si="6"/>
        <v>11.167135072752314</v>
      </c>
      <c r="Q8">
        <f t="shared" si="7"/>
        <v>22.334270145504629</v>
      </c>
    </row>
    <row r="9" spans="1:17" x14ac:dyDescent="0.25">
      <c r="A9" t="str">
        <f>'Data and Constraints'!A9</f>
        <v>Uranus</v>
      </c>
      <c r="B9">
        <f>'Data and Constraints'!B9</f>
        <v>19.2</v>
      </c>
      <c r="D9" s="24">
        <f t="shared" si="0"/>
        <v>492.30769230769226</v>
      </c>
      <c r="E9">
        <f>'Data and Constraints'!I9</f>
        <v>14.539363484087104</v>
      </c>
      <c r="G9" s="24">
        <f t="shared" si="1"/>
        <v>263.82978723404256</v>
      </c>
      <c r="H9">
        <f t="shared" si="2"/>
        <v>7213.1907194576424</v>
      </c>
      <c r="J9">
        <f t="shared" si="3"/>
        <v>120.21984532429404</v>
      </c>
      <c r="K9">
        <f t="shared" si="4"/>
        <v>2.0036640887382342</v>
      </c>
      <c r="L9" s="27">
        <v>558.19036000887195</v>
      </c>
      <c r="M9" s="28">
        <v>525.09468000398499</v>
      </c>
      <c r="O9">
        <f t="shared" si="5"/>
        <v>0.46861518790390111</v>
      </c>
      <c r="P9">
        <f t="shared" si="6"/>
        <v>12.015774048817976</v>
      </c>
      <c r="Q9">
        <f t="shared" si="7"/>
        <v>24.031548097635952</v>
      </c>
    </row>
    <row r="10" spans="1:17" x14ac:dyDescent="0.25">
      <c r="A10" t="str">
        <f>'Data and Constraints'!A10</f>
        <v>Neptune</v>
      </c>
      <c r="B10" s="23">
        <f>'Data and Constraints'!B10</f>
        <v>30.06</v>
      </c>
      <c r="D10" s="24">
        <f t="shared" si="0"/>
        <v>770.76923076923072</v>
      </c>
      <c r="E10">
        <f>'Data and Constraints'!I10</f>
        <v>17.085427135678394</v>
      </c>
      <c r="G10" s="23">
        <f t="shared" si="1"/>
        <v>310.03039513677811</v>
      </c>
      <c r="H10">
        <f t="shared" si="2"/>
        <v>14130.549038668363</v>
      </c>
      <c r="J10">
        <f t="shared" si="3"/>
        <v>235.50915064447273</v>
      </c>
      <c r="K10">
        <f t="shared" si="4"/>
        <v>3.9251525107412122</v>
      </c>
      <c r="L10">
        <v>903.381720017931</v>
      </c>
      <c r="M10" s="28">
        <v>804.09468000360096</v>
      </c>
      <c r="O10">
        <f t="shared" si="5"/>
        <v>0.77421976903796963</v>
      </c>
      <c r="P10">
        <f t="shared" si="6"/>
        <v>19.851788949691528</v>
      </c>
      <c r="Q10">
        <f t="shared" si="7"/>
        <v>39.703577899383056</v>
      </c>
    </row>
    <row r="11" spans="1:17" x14ac:dyDescent="0.25">
      <c r="A11" t="s">
        <v>59</v>
      </c>
      <c r="B11" s="29">
        <v>0</v>
      </c>
      <c r="D11" s="23">
        <v>0</v>
      </c>
      <c r="E11">
        <f>0.125*E2</f>
        <v>41666.666666666672</v>
      </c>
      <c r="G11" s="24">
        <f t="shared" si="1"/>
        <v>756079.02735562308</v>
      </c>
      <c r="H11">
        <f t="shared" si="2"/>
        <v>0</v>
      </c>
      <c r="J11">
        <f t="shared" si="3"/>
        <v>0</v>
      </c>
      <c r="K11">
        <f t="shared" si="4"/>
        <v>0</v>
      </c>
      <c r="L11">
        <v>4236.2460395539001</v>
      </c>
      <c r="M11">
        <v>2118.1225199598798</v>
      </c>
      <c r="P11">
        <f t="shared" si="6"/>
        <v>0</v>
      </c>
    </row>
    <row r="12" spans="1:17" ht="16.5" customHeight="1" x14ac:dyDescent="0.25">
      <c r="A12" t="s">
        <v>65</v>
      </c>
      <c r="B12" s="33">
        <f>0.05</f>
        <v>0.05</v>
      </c>
      <c r="D12" s="22">
        <f>$C$3*B12</f>
        <v>1.2820512820512819</v>
      </c>
      <c r="E12">
        <f>1.17*E5</f>
        <v>1.17</v>
      </c>
      <c r="G12" s="24">
        <f>$F$3*E12</f>
        <v>21.23069908814589</v>
      </c>
      <c r="H12">
        <f t="shared" si="2"/>
        <v>0.95858488932564612</v>
      </c>
      <c r="J12">
        <f t="shared" si="3"/>
        <v>1.5976414822094102E-2</v>
      </c>
      <c r="K12">
        <f t="shared" si="4"/>
        <v>2.6627358036823505E-4</v>
      </c>
      <c r="L12">
        <v>34.374679999998598</v>
      </c>
      <c r="M12" s="28">
        <v>9.5529200000020609</v>
      </c>
      <c r="N12" s="28">
        <f>$J$18-D12</f>
        <v>6353.0865082317277</v>
      </c>
      <c r="O12">
        <f t="shared" ref="O4:O14" si="8">B12* POWER((E12/(3*$E$2)), 1/3)</f>
        <v>5.2686412151481594E-4</v>
      </c>
      <c r="P12">
        <f t="shared" si="6"/>
        <v>1.3509336449097844E-2</v>
      </c>
    </row>
    <row r="13" spans="1:17" ht="16.5" customHeight="1" x14ac:dyDescent="0.25">
      <c r="A13" t="s">
        <v>63</v>
      </c>
      <c r="B13" s="34">
        <f>1.5</f>
        <v>1.5</v>
      </c>
      <c r="D13" s="23">
        <f t="shared" ref="D13" si="9">$C$3*B13</f>
        <v>38.46153846153846</v>
      </c>
      <c r="E13">
        <f>7</f>
        <v>7</v>
      </c>
      <c r="G13" s="24">
        <f t="shared" ref="G13:G14" si="10">$F$3*E13</f>
        <v>127.02127659574467</v>
      </c>
      <c r="H13">
        <f t="shared" si="2"/>
        <v>157.51157015017486</v>
      </c>
      <c r="J13">
        <f t="shared" si="3"/>
        <v>2.6251928358362475</v>
      </c>
      <c r="K13">
        <f t="shared" si="4"/>
        <v>4.3753213930604128E-2</v>
      </c>
      <c r="L13">
        <v>104.690360001009</v>
      </c>
      <c r="M13" s="28">
        <v>55.046840000274301</v>
      </c>
      <c r="N13" s="28">
        <f t="shared" ref="N13:N14" si="11">$J$18-D13</f>
        <v>6315.9070210522414</v>
      </c>
      <c r="O13">
        <f t="shared" si="8"/>
        <v>2.8693967741585849E-2</v>
      </c>
      <c r="P13">
        <f t="shared" si="6"/>
        <v>0.73574276260476534</v>
      </c>
    </row>
    <row r="14" spans="1:17" x14ac:dyDescent="0.25">
      <c r="A14" t="s">
        <v>64</v>
      </c>
      <c r="B14" s="35">
        <f>0.029</f>
        <v>2.9000000000000001E-2</v>
      </c>
      <c r="D14" s="21">
        <f>$C$3*B14</f>
        <v>0.74358974358974361</v>
      </c>
      <c r="E14">
        <f>0.26</f>
        <v>0.26</v>
      </c>
      <c r="G14" s="24">
        <f t="shared" si="10"/>
        <v>4.7179331306990875</v>
      </c>
      <c r="H14">
        <f t="shared" si="2"/>
        <v>0.42342117114919975</v>
      </c>
      <c r="J14">
        <f t="shared" si="3"/>
        <v>7.0570195191533291E-3</v>
      </c>
      <c r="K14">
        <f t="shared" si="4"/>
        <v>1.1761699198588882E-4</v>
      </c>
      <c r="L14">
        <v>17.290839999997299</v>
      </c>
      <c r="M14" s="28">
        <v>4.8799600000011196</v>
      </c>
      <c r="N14" s="28">
        <f t="shared" si="11"/>
        <v>6353.6249697701896</v>
      </c>
      <c r="O14">
        <f t="shared" si="8"/>
        <v>1.8509262466693735E-4</v>
      </c>
      <c r="P14">
        <f t="shared" si="6"/>
        <v>4.7459647350496757E-3</v>
      </c>
    </row>
    <row r="15" spans="1:17" ht="31.5" x14ac:dyDescent="0.25">
      <c r="A15" s="30" t="s">
        <v>62</v>
      </c>
      <c r="B15" s="31">
        <f ca="1">D15/C3</f>
        <v>2730.0000000000005</v>
      </c>
      <c r="D15" s="21">
        <f t="shared" ref="D15:D17" ca="1" si="12">$C$3*B15</f>
        <v>0.74358974358974361</v>
      </c>
      <c r="E15">
        <f>E11</f>
        <v>41666.666666666672</v>
      </c>
      <c r="G15" s="24">
        <f>$F$3 *E15</f>
        <v>756079.02735562308</v>
      </c>
    </row>
    <row r="16" spans="1:17" x14ac:dyDescent="0.25">
      <c r="B16">
        <f>Velocities!C2</f>
        <v>-0.10803000000000001</v>
      </c>
      <c r="D16" s="21">
        <f t="shared" si="12"/>
        <v>-2.77</v>
      </c>
    </row>
    <row r="17" spans="1:11" x14ac:dyDescent="0.25">
      <c r="B17">
        <f>Velocities!C4</f>
        <v>0.13221000000000002</v>
      </c>
      <c r="D17" s="21">
        <f t="shared" si="12"/>
        <v>3.39</v>
      </c>
      <c r="I17" t="s">
        <v>70</v>
      </c>
      <c r="J17" t="s">
        <v>71</v>
      </c>
    </row>
    <row r="18" spans="1:11" ht="31.5" x14ac:dyDescent="0.25">
      <c r="A18" s="25"/>
      <c r="B18" s="25" t="s">
        <v>61</v>
      </c>
      <c r="C18" s="25" t="s">
        <v>60</v>
      </c>
      <c r="H18" s="25" t="s">
        <v>67</v>
      </c>
      <c r="I18">
        <f>L2+L11</f>
        <v>21181.2331926685</v>
      </c>
      <c r="J18">
        <f>M11+M2</f>
        <v>6354.3685595137795</v>
      </c>
    </row>
    <row r="19" spans="1:11" x14ac:dyDescent="0.25">
      <c r="A19" t="str">
        <f t="shared" ref="A19:A27" si="13">A2</f>
        <v>Sun</v>
      </c>
      <c r="B19" s="23">
        <v>5001.8125804631773</v>
      </c>
      <c r="C19" s="24">
        <f t="shared" ref="C19:C27" si="14">D2</f>
        <v>0</v>
      </c>
      <c r="I19" t="s">
        <v>79</v>
      </c>
      <c r="J19" t="s">
        <v>80</v>
      </c>
      <c r="K19" t="s">
        <v>81</v>
      </c>
    </row>
    <row r="20" spans="1:11" x14ac:dyDescent="0.25">
      <c r="A20" t="str">
        <f t="shared" si="13"/>
        <v>Mercury</v>
      </c>
      <c r="B20" s="23">
        <v>-9.0525598751101342</v>
      </c>
      <c r="C20" s="23">
        <f t="shared" si="14"/>
        <v>10</v>
      </c>
      <c r="H20" t="s">
        <v>78</v>
      </c>
      <c r="I20">
        <f>6371</f>
        <v>6371</v>
      </c>
      <c r="J20">
        <f>I20*0.00000000668459</f>
        <v>4.258752289E-5</v>
      </c>
      <c r="K20">
        <f>C3*J20</f>
        <v>1.0919877664102562E-3</v>
      </c>
    </row>
    <row r="21" spans="1:11" x14ac:dyDescent="0.25">
      <c r="A21" t="str">
        <f t="shared" si="13"/>
        <v>Venus</v>
      </c>
      <c r="B21">
        <v>-72.576421759969705</v>
      </c>
      <c r="C21" s="23">
        <f t="shared" si="14"/>
        <v>18.46153846153846</v>
      </c>
    </row>
    <row r="22" spans="1:11" x14ac:dyDescent="0.25">
      <c r="A22" t="str">
        <f t="shared" si="13"/>
        <v>Earth</v>
      </c>
      <c r="B22" s="23">
        <v>-64.053401288597897</v>
      </c>
      <c r="C22" s="23">
        <f t="shared" si="14"/>
        <v>25.641025641025639</v>
      </c>
    </row>
    <row r="23" spans="1:11" x14ac:dyDescent="0.25">
      <c r="A23" t="str">
        <f t="shared" si="13"/>
        <v>Mars</v>
      </c>
      <c r="B23" s="23">
        <v>-4.5096483027475829</v>
      </c>
      <c r="C23" s="23">
        <f t="shared" si="14"/>
        <v>38.974358974358971</v>
      </c>
    </row>
    <row r="24" spans="1:11" x14ac:dyDescent="0.25">
      <c r="A24" t="str">
        <f t="shared" si="13"/>
        <v>Jupiter</v>
      </c>
      <c r="B24" s="23">
        <v>-3919.7175988609692</v>
      </c>
      <c r="C24" s="23">
        <f t="shared" si="14"/>
        <v>133.33333333333331</v>
      </c>
    </row>
    <row r="25" spans="1:11" x14ac:dyDescent="0.25">
      <c r="A25" t="str">
        <f t="shared" si="13"/>
        <v xml:space="preserve">Saturn </v>
      </c>
      <c r="B25" s="23">
        <v>-640.21791274934185</v>
      </c>
      <c r="C25" s="23">
        <f t="shared" si="14"/>
        <v>244.61538461538458</v>
      </c>
    </row>
    <row r="26" spans="1:11" x14ac:dyDescent="0.25">
      <c r="A26" t="str">
        <f t="shared" si="13"/>
        <v>Uranus</v>
      </c>
      <c r="B26" s="23">
        <v>-48.595843723193802</v>
      </c>
      <c r="C26" s="23">
        <f t="shared" si="14"/>
        <v>492.30769230769226</v>
      </c>
    </row>
    <row r="27" spans="1:11" x14ac:dyDescent="0.25">
      <c r="A27" t="str">
        <f t="shared" si="13"/>
        <v>Neptune</v>
      </c>
      <c r="B27" s="23">
        <v>-36.467490936594487</v>
      </c>
      <c r="C27" s="23">
        <f t="shared" si="14"/>
        <v>770.76923076923072</v>
      </c>
    </row>
    <row r="28" spans="1:11" x14ac:dyDescent="0.25">
      <c r="C28" s="29"/>
    </row>
    <row r="29" spans="1:11" ht="63" x14ac:dyDescent="0.25">
      <c r="B29" t="s">
        <v>75</v>
      </c>
      <c r="C29" s="24" t="s">
        <v>76</v>
      </c>
      <c r="D29" t="s">
        <v>77</v>
      </c>
      <c r="E29" s="25" t="s">
        <v>86</v>
      </c>
      <c r="F29" s="25" t="s">
        <v>87</v>
      </c>
      <c r="G29" s="25" t="s">
        <v>88</v>
      </c>
      <c r="H29" s="25" t="s">
        <v>89</v>
      </c>
      <c r="I29" s="25" t="s">
        <v>90</v>
      </c>
    </row>
    <row r="30" spans="1:11" x14ac:dyDescent="0.25">
      <c r="A30" t="s">
        <v>73</v>
      </c>
      <c r="C30" s="24">
        <f>1.67443E-25*$F$3</f>
        <v>3.0384033738601818E-24</v>
      </c>
    </row>
    <row r="31" spans="1:11" x14ac:dyDescent="0.25">
      <c r="A31" t="s">
        <v>74</v>
      </c>
      <c r="B31" s="19"/>
      <c r="C31" s="24"/>
      <c r="D31" s="19"/>
      <c r="E31">
        <f>POWER(2*I3*G5/K20, 0.5)</f>
        <v>0.70530039054822113</v>
      </c>
    </row>
    <row r="32" spans="1:11" x14ac:dyDescent="0.25">
      <c r="A32" t="s">
        <v>85</v>
      </c>
      <c r="B32" s="37">
        <v>419725</v>
      </c>
      <c r="D32">
        <f>C30*B32</f>
        <v>1.2752938560934648E-18</v>
      </c>
      <c r="E32">
        <f>POWER(2*I3*G5/K20, 0.5)</f>
        <v>0.70530039054822113</v>
      </c>
      <c r="F32" s="32">
        <f>$D$32*$G7*$I$3</f>
        <v>1.1023653737373334E-19</v>
      </c>
      <c r="G32" s="32">
        <f>$D$32*$G8*$I$3</f>
        <v>3.2954922751726605E-20</v>
      </c>
      <c r="H32" s="32">
        <f>$D$32*$G9*$I$3</f>
        <v>5.0360691810737137E-21</v>
      </c>
      <c r="I32" s="32">
        <f>$D$32*$G10*$I$3</f>
        <v>5.9179614800635809E-21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CF26E-8A08-4031-A6C7-58BE8F2FCA6A}">
  <dimension ref="A1:C5"/>
  <sheetViews>
    <sheetView workbookViewId="0">
      <selection activeCell="C2" sqref="C2"/>
    </sheetView>
  </sheetViews>
  <sheetFormatPr defaultRowHeight="15.75" x14ac:dyDescent="0.25"/>
  <cols>
    <col min="1" max="1" width="13.125" customWidth="1"/>
  </cols>
  <sheetData>
    <row r="1" spans="1:3" x14ac:dyDescent="0.25">
      <c r="A1" t="s">
        <v>91</v>
      </c>
      <c r="B1">
        <f>SQRT(POWER(B2, 2) + POWER(B3, 2) + POWER(B4, 2))</f>
        <v>4.3777848279695064</v>
      </c>
      <c r="C1">
        <f>SQRT(POWER(C2, 2) + POWER(C3, 2) + POWER(C4, 2))</f>
        <v>0.17073360829081077</v>
      </c>
    </row>
    <row r="2" spans="1:3" x14ac:dyDescent="0.25">
      <c r="A2" t="s">
        <v>92</v>
      </c>
      <c r="B2">
        <v>-2.77</v>
      </c>
      <c r="C2">
        <f>B2/'Unit Scalings'!$C$3</f>
        <v>-0.10803000000000001</v>
      </c>
    </row>
    <row r="3" spans="1:3" x14ac:dyDescent="0.25">
      <c r="A3" t="s">
        <v>93</v>
      </c>
      <c r="B3">
        <v>0</v>
      </c>
      <c r="C3">
        <f>B3/'Unit Scalings'!$C$3</f>
        <v>0</v>
      </c>
    </row>
    <row r="4" spans="1:3" x14ac:dyDescent="0.25">
      <c r="A4" t="s">
        <v>94</v>
      </c>
      <c r="B4">
        <v>3.39</v>
      </c>
      <c r="C4">
        <f>B4/'Unit Scalings'!$C$3</f>
        <v>0.13221000000000002</v>
      </c>
    </row>
    <row r="5" spans="1:3" x14ac:dyDescent="0.25">
      <c r="B5" t="s">
        <v>95</v>
      </c>
      <c r="C5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and Constraints</vt:lpstr>
      <vt:lpstr>Unit Scalings</vt:lpstr>
      <vt:lpstr>Velocities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Lyle Tavernier</dc:creator>
  <cp:lastModifiedBy>Daniyal</cp:lastModifiedBy>
  <dcterms:created xsi:type="dcterms:W3CDTF">2019-10-22T22:48:01Z</dcterms:created>
  <dcterms:modified xsi:type="dcterms:W3CDTF">2024-03-05T16:45:46Z</dcterms:modified>
</cp:coreProperties>
</file>